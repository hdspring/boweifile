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 2026\SAP项目\4.开发说明书\"/>
    </mc:Choice>
  </mc:AlternateContent>
  <xr:revisionPtr revIDLastSave="0" documentId="13_ncr:1_{8DA46FA4-A78A-473A-B330-C4F55453CC78}" xr6:coauthVersionLast="47" xr6:coauthVersionMax="47" xr10:uidLastSave="{00000000-0000-0000-0000-000000000000}"/>
  <bookViews>
    <workbookView xWindow="-110" yWindow="-110" windowWidth="19420" windowHeight="11760" tabRatio="551" xr2:uid="{BE41F809-99BB-4DB7-A59F-81C89036E23F}"/>
  </bookViews>
  <sheets>
    <sheet name="Sheet1" sheetId="1" r:id="rId1"/>
    <sheet name="入库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2" l="1"/>
  <c r="E8" i="2"/>
  <c r="E9" i="2"/>
  <c r="F28" i="1"/>
  <c r="J28" i="1"/>
</calcChain>
</file>

<file path=xl/sharedStrings.xml><?xml version="1.0" encoding="utf-8"?>
<sst xmlns="http://schemas.openxmlformats.org/spreadsheetml/2006/main" count="203" uniqueCount="157">
  <si>
    <t>Plant</t>
  </si>
  <si>
    <t>入库库位</t>
  </si>
  <si>
    <t>收货库位</t>
  </si>
  <si>
    <t>No.</t>
  </si>
  <si>
    <t>Qrcode</t>
  </si>
  <si>
    <t>Material</t>
  </si>
  <si>
    <t>Qty</t>
  </si>
  <si>
    <t>Grade</t>
  </si>
  <si>
    <t>PA260720A3D0001</t>
  </si>
  <si>
    <t>PA260720A3D0002</t>
  </si>
  <si>
    <t>PA260720A3D0003</t>
  </si>
  <si>
    <t>PA260720A3D0004</t>
  </si>
  <si>
    <t>PA260720A3D0005</t>
  </si>
  <si>
    <t>PA260720A3D0006</t>
  </si>
  <si>
    <t>PA260720A3D0007</t>
  </si>
  <si>
    <t>PA260720A3D0008</t>
  </si>
  <si>
    <t>A</t>
  </si>
  <si>
    <t>Total Cartons</t>
  </si>
  <si>
    <t>Total Qty</t>
  </si>
  <si>
    <t>First</t>
  </si>
  <si>
    <t>Prev</t>
  </si>
  <si>
    <t>Next</t>
  </si>
  <si>
    <t>Last</t>
  </si>
  <si>
    <t>Select</t>
  </si>
  <si>
    <t>o</t>
  </si>
  <si>
    <t>Del All</t>
  </si>
  <si>
    <t>Delete</t>
  </si>
  <si>
    <t>SUBMIT</t>
  </si>
  <si>
    <t>|扫描箱子</t>
  </si>
  <si>
    <t>Check</t>
  </si>
  <si>
    <t>扫箱的时候</t>
  </si>
  <si>
    <t>说明</t>
  </si>
  <si>
    <t>每次扫要检查是否箱号已在清单里面</t>
  </si>
  <si>
    <t>按钮/字段</t>
  </si>
  <si>
    <t>默认9400</t>
  </si>
  <si>
    <t>默认9409， 可以选项</t>
  </si>
  <si>
    <t>默认9401，可以选项</t>
  </si>
  <si>
    <t>扫描箱子</t>
  </si>
  <si>
    <t>箱编码</t>
  </si>
  <si>
    <t>箱物料</t>
  </si>
  <si>
    <t>箱数量</t>
  </si>
  <si>
    <t>可以选行</t>
  </si>
  <si>
    <t>删除在select已选项</t>
  </si>
  <si>
    <t>已扫描的箱子</t>
  </si>
  <si>
    <t>MOVE_TYPE: 131</t>
  </si>
  <si>
    <t>MOVE_TYPE: 531</t>
  </si>
  <si>
    <t>Error：返回BAPI 131 到PDA 并停止STEP 2</t>
  </si>
  <si>
    <t>success：生产收货物料凭证并下一步</t>
  </si>
  <si>
    <t>MOVE_TYPE: 311</t>
  </si>
  <si>
    <t>异常管理与数据安全 (Exception Handling)</t>
  </si>
  <si>
    <t>若 BAPI 311 报错（因库位锁定、库存不足等原因），系统将执行回滚（ROLLBACK）（自动冲销/取消步骤 1 中刚生成的 131 凭证），以确保数据一致性（Data Consistency）。系统返回提示信息：“311 转库失败，整个交易已全部取消。详细信息：[错误内容]”</t>
  </si>
  <si>
    <t>工单</t>
  </si>
  <si>
    <t>物料</t>
  </si>
  <si>
    <r>
      <t>1. 选工单 -》</t>
    </r>
    <r>
      <rPr>
        <b/>
        <sz val="11"/>
        <color theme="1"/>
        <rFont val="Aptos Narrow"/>
        <family val="2"/>
        <scheme val="minor"/>
      </rPr>
      <t>物料按照工单</t>
    </r>
    <r>
      <rPr>
        <sz val="11"/>
        <color theme="1"/>
        <rFont val="Aptos Narrow"/>
        <family val="2"/>
        <scheme val="minor"/>
      </rPr>
      <t>自动获取</t>
    </r>
  </si>
  <si>
    <r>
      <t>2. 选物料 -》</t>
    </r>
    <r>
      <rPr>
        <b/>
        <sz val="11"/>
        <color theme="1"/>
        <rFont val="Aptos Narrow"/>
        <family val="2"/>
        <scheme val="minor"/>
      </rPr>
      <t>工单</t>
    </r>
    <r>
      <rPr>
        <sz val="11"/>
        <color theme="1"/>
        <rFont val="Aptos Narrow"/>
        <family val="2"/>
        <scheme val="minor"/>
      </rPr>
      <t>按物料自动获取</t>
    </r>
  </si>
  <si>
    <t></t>
  </si>
  <si>
    <t>B</t>
  </si>
  <si>
    <t>C</t>
  </si>
  <si>
    <t>Call BAPI:BAPI_GOODSMVT_CREATE</t>
  </si>
  <si>
    <t>HEADER</t>
  </si>
  <si>
    <t>BODY</t>
  </si>
  <si>
    <t>FOOTER</t>
  </si>
  <si>
    <t>收货-入库 GOODS RECEIPT - TRANSFER POSTING</t>
  </si>
  <si>
    <t>PDA UI DESIGN</t>
  </si>
  <si>
    <t>1. 一个托盘装24箱</t>
  </si>
  <si>
    <t>Grade = C：工单，物料 可以操作；</t>
  </si>
  <si>
    <t>后续正常生产A级按照满托盘来操作收货-移库</t>
  </si>
  <si>
    <t>Grade = A or Grade = B： 工单，物料 -》 灰色不允许操作</t>
  </si>
  <si>
    <t>首页</t>
  </si>
  <si>
    <t>上一页</t>
  </si>
  <si>
    <t>下一面</t>
  </si>
  <si>
    <t>末页</t>
  </si>
  <si>
    <t>弹框"Delete all scanned boxes?" 弹框上按钮"Yes"表示清空数据并返回，"No"消除弹框，停留在当前页面</t>
  </si>
  <si>
    <t>序号</t>
  </si>
  <si>
    <t>一打开界面显示默认值</t>
  </si>
  <si>
    <t>Plant = 9400</t>
  </si>
  <si>
    <t>入库库位 = 9401</t>
  </si>
  <si>
    <t>收货库位 =  9409</t>
  </si>
  <si>
    <t>按钮：</t>
  </si>
  <si>
    <t>灰色不允洗操作</t>
  </si>
  <si>
    <t>Total Carrton = 0</t>
  </si>
  <si>
    <t>Total Qty = 0</t>
  </si>
  <si>
    <t xml:space="preserve"> Total Carrton = +1</t>
  </si>
  <si>
    <t>每次扫箱子成功</t>
  </si>
  <si>
    <t>箱子加到body明细（包含相关信息：Qrcode，Material，Qty）</t>
  </si>
  <si>
    <t>SUM(Qty)</t>
  </si>
  <si>
    <t xml:space="preserve"> Total Qty = SUM(Qty)</t>
  </si>
  <si>
    <t>按钮功能可以操作</t>
  </si>
  <si>
    <t>Grade = ""</t>
  </si>
  <si>
    <t>找到对应：STPO-STLNR</t>
  </si>
  <si>
    <t>按照 MAST-STLNR找到对应A物料（MAST-MATNR)</t>
  </si>
  <si>
    <t>IF Grade = A</t>
  </si>
  <si>
    <t>IF Grade = B</t>
  </si>
  <si>
    <r>
      <t>IF Grade = C 【</t>
    </r>
    <r>
      <rPr>
        <i/>
        <sz val="11"/>
        <color theme="1"/>
        <rFont val="Aptos Narrow"/>
        <family val="2"/>
        <scheme val="minor"/>
      </rPr>
      <t>收到对应重复订单(工单界面）】</t>
    </r>
  </si>
  <si>
    <t>*)Grade = C 系统自动按照当月工单收货最多的A级推荐</t>
  </si>
  <si>
    <r>
      <t>A/B/C</t>
    </r>
    <r>
      <rPr>
        <b/>
        <i/>
        <sz val="11"/>
        <color theme="1"/>
        <rFont val="Aptos Narrow"/>
        <family val="2"/>
        <scheme val="minor"/>
      </rPr>
      <t>（扫描第一箱系统自动识别）</t>
    </r>
  </si>
  <si>
    <t>找到对应重复制造订单: AFKO-AURNR</t>
  </si>
  <si>
    <t>AFKO-PLNBEZ = MAST-MATNR</t>
  </si>
  <si>
    <t>检查箱等级是否=Grade值（IF  ZTP_CARTON_HEA-GRADE_VAL !=Grade  PDA 提"醒箱等级不一样"）</t>
  </si>
  <si>
    <t>ZTP_CARTON_HEA-IS_RECEIVE_GOODS = Y  =&gt;PDA 提醒 "箱子已收货入库不允许再操作"</t>
  </si>
  <si>
    <t>ZTP_CARTON_HEA-IS_PACKING = N =&gt;PDA提 "箱已删除状态不允许收货"</t>
  </si>
  <si>
    <t>更新：ZTP_CARTON_HEA-SLOC_NO = 9409</t>
  </si>
  <si>
    <t>更新：ZTP_CARTON_HEA-RESER_NO = “预留号”</t>
  </si>
  <si>
    <t>AFKO-AUFNR = AFPO-AUFNR =&gt; 找到 AFPO-VERID 【V01】</t>
  </si>
  <si>
    <r>
      <t>Call BAPI:BAPI_REPMANCONF1_CREATE_MTS  （</t>
    </r>
    <r>
      <rPr>
        <i/>
        <sz val="11"/>
        <color rgb="FFFF0000"/>
        <rFont val="Aptos Narrow"/>
        <family val="2"/>
        <scheme val="minor"/>
      </rPr>
      <t>BAPI_GOODSMVT_CREATE</t>
    </r>
    <r>
      <rPr>
        <sz val="11"/>
        <color theme="1"/>
        <rFont val="Aptos Narrow"/>
        <family val="2"/>
        <scheme val="minor"/>
      </rPr>
      <t>）</t>
    </r>
  </si>
  <si>
    <t>同时call BAPI:BAPI_REPMANCONF1_CREATE_MTS</t>
  </si>
  <si>
    <t>MSEG-MATNT</t>
  </si>
  <si>
    <t>找到对应A级物料和订单</t>
  </si>
  <si>
    <t>MAX【SUM(131,132)】</t>
  </si>
  <si>
    <t>推荐：</t>
  </si>
  <si>
    <t>MSEG-AUFNR</t>
  </si>
  <si>
    <t>STEP 1 错误（131 失败）</t>
  </si>
  <si>
    <t>STEP 2 错误（131 成功但 311 失败）</t>
  </si>
  <si>
    <t>STEP 3 错误（131， 311 成功，但是261投料失败）</t>
  </si>
  <si>
    <t>按照收货数量（对应A级物料，重复订单</t>
  </si>
  <si>
    <t>STEP 3:  261 投料</t>
  </si>
  <si>
    <t>STEP 1 收货（131, 531)</t>
  </si>
  <si>
    <t>STEP 2 创建预留 311</t>
  </si>
  <si>
    <t>投料失败保存到自建表 （订单，物料，数量）</t>
  </si>
  <si>
    <t>从MAST-STLNR 找到投料半成品（6700*）</t>
  </si>
  <si>
    <t>其中有一个失败就未生成任何凭证，库存数据保持不变。用户修正错误后重新扫描，STEP 2, STEP 3 不执行</t>
  </si>
  <si>
    <t>STPO-IDNRK = ZTP_CARTON_HEA-MATNR</t>
  </si>
  <si>
    <t>A级物料号：ZTP_CARTON_HEA-MATNR</t>
  </si>
  <si>
    <t>数量：按照ZTP_CARTON_HEA-MATNR汇总数量 ZTP_CARTON_HEA-TOTAL_QTY</t>
  </si>
  <si>
    <t>收货库位：9409 （PDA界面或写死）</t>
  </si>
  <si>
    <t>从STPO-STLNR找到对应半成品67开头6700*（6700002）</t>
  </si>
  <si>
    <t>获取当月日期（从1号到操作收货日期）</t>
  </si>
  <si>
    <t>call BAPI:BAPI_REPMANCONF1_CREATE_MTS</t>
  </si>
  <si>
    <t>STEP 4: 打印入库单</t>
  </si>
  <si>
    <t>BOVIET CELL TECHNOLOGY(NORTH CAROLINA) LLC</t>
  </si>
  <si>
    <t>物料号</t>
  </si>
  <si>
    <t>物料名称</t>
  </si>
  <si>
    <t>数量</t>
  </si>
  <si>
    <t>单位</t>
  </si>
  <si>
    <t>批次</t>
  </si>
  <si>
    <t>创建人</t>
  </si>
  <si>
    <t>1. 打印格式：A5 三联打印</t>
  </si>
  <si>
    <t>ZTP_CARTON_HEA-RESER_NO</t>
  </si>
  <si>
    <t>当前操作系统日期</t>
  </si>
  <si>
    <t>按（物料号，批次）汇总数量</t>
  </si>
  <si>
    <t>备注</t>
  </si>
  <si>
    <t>9040 Battery Workshop</t>
  </si>
  <si>
    <t>9401 Cell FG WH</t>
  </si>
  <si>
    <t>打印日期</t>
  </si>
  <si>
    <t>物料移库单</t>
  </si>
  <si>
    <t>按照PDA界面获取加上对应库存名称</t>
  </si>
  <si>
    <t>2.移出库存</t>
  </si>
  <si>
    <t>3.移入库存</t>
  </si>
  <si>
    <t>仓管员</t>
  </si>
  <si>
    <t>移出库地点</t>
  </si>
  <si>
    <t>移入库存地点</t>
  </si>
  <si>
    <t>预留号</t>
  </si>
  <si>
    <t>4.预留号</t>
  </si>
  <si>
    <t>在STEP2创建</t>
  </si>
  <si>
    <t>审核</t>
  </si>
  <si>
    <t>PC</t>
  </si>
  <si>
    <t>5.物料名称获取对应物料号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</si>
</sst>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Wingdings"/>
      <charset val="2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Wingdings 3"/>
      <family val="1"/>
      <charset val="2"/>
    </font>
    <font>
      <i/>
      <sz val="11"/>
      <color rgb="FFFF000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3" borderId="5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9" xfId="0" applyBorder="1"/>
    <xf numFmtId="0" fontId="5" fillId="0" borderId="9" xfId="0" applyFont="1" applyBorder="1"/>
    <xf numFmtId="0" fontId="0" fillId="0" borderId="0" xfId="0" applyAlignment="1">
      <alignment horizontal="left" vertical="center" wrapText="1"/>
    </xf>
    <xf numFmtId="0" fontId="0" fillId="0" borderId="10" xfId="0" applyBorder="1"/>
    <xf numFmtId="0" fontId="4" fillId="7" borderId="4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9" fillId="0" borderId="0" xfId="0" applyFont="1"/>
    <xf numFmtId="0" fontId="10" fillId="4" borderId="0" xfId="0" applyFont="1" applyFill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3" borderId="12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 indent="2"/>
    </xf>
    <xf numFmtId="0" fontId="8" fillId="3" borderId="13" xfId="0" applyFont="1" applyFill="1" applyBorder="1" applyAlignment="1">
      <alignment horizontal="left" vertical="center"/>
    </xf>
    <xf numFmtId="0" fontId="1" fillId="3" borderId="10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7" fillId="3" borderId="0" xfId="0" applyFont="1" applyFill="1"/>
    <xf numFmtId="0" fontId="7" fillId="3" borderId="9" xfId="0" applyFont="1" applyFill="1" applyBorder="1" applyAlignment="1">
      <alignment horizontal="right"/>
    </xf>
    <xf numFmtId="0" fontId="0" fillId="3" borderId="17" xfId="0" applyFill="1" applyBorder="1"/>
    <xf numFmtId="0" fontId="0" fillId="3" borderId="18" xfId="0" applyFill="1" applyBorder="1"/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3" borderId="0" xfId="0" applyFill="1" applyAlignment="1">
      <alignment horizontal="left" indent="2"/>
    </xf>
    <xf numFmtId="0" fontId="0" fillId="0" borderId="0" xfId="0" applyAlignment="1">
      <alignment horizontal="left" indent="2"/>
    </xf>
    <xf numFmtId="0" fontId="0" fillId="0" borderId="9" xfId="0" quotePrefix="1" applyBorder="1"/>
    <xf numFmtId="0" fontId="0" fillId="8" borderId="0" xfId="0" applyFill="1" applyAlignment="1">
      <alignment horizontal="left" indent="3"/>
    </xf>
    <xf numFmtId="0" fontId="0" fillId="8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12" fillId="0" borderId="0" xfId="0" applyFont="1"/>
    <xf numFmtId="0" fontId="0" fillId="0" borderId="0" xfId="0" applyAlignment="1">
      <alignment horizontal="left" indent="3"/>
    </xf>
    <xf numFmtId="0" fontId="13" fillId="3" borderId="0" xfId="0" applyFont="1" applyFill="1"/>
    <xf numFmtId="0" fontId="0" fillId="0" borderId="0" xfId="0" applyAlignment="1">
      <alignment wrapText="1"/>
    </xf>
    <xf numFmtId="0" fontId="0" fillId="3" borderId="14" xfId="0" applyFill="1" applyBorder="1" applyAlignment="1">
      <alignment horizontal="left" indent="2"/>
    </xf>
    <xf numFmtId="0" fontId="1" fillId="3" borderId="14" xfId="0" applyFont="1" applyFill="1" applyBorder="1" applyAlignment="1">
      <alignment horizontal="left" indent="2"/>
    </xf>
    <xf numFmtId="0" fontId="0" fillId="3" borderId="14" xfId="0" applyFill="1" applyBorder="1" applyAlignment="1">
      <alignment horizontal="left" indent="4"/>
    </xf>
    <xf numFmtId="0" fontId="0" fillId="0" borderId="14" xfId="0" applyBorder="1" applyAlignment="1">
      <alignment horizontal="left" indent="4"/>
    </xf>
    <xf numFmtId="0" fontId="14" fillId="0" borderId="14" xfId="0" applyFont="1" applyBorder="1" applyAlignment="1">
      <alignment horizontal="left" indent="4"/>
    </xf>
    <xf numFmtId="0" fontId="10" fillId="3" borderId="14" xfId="0" applyFont="1" applyFill="1" applyBorder="1" applyAlignment="1">
      <alignment horizontal="left" indent="2"/>
    </xf>
    <xf numFmtId="0" fontId="1" fillId="3" borderId="14" xfId="0" applyFont="1" applyFill="1" applyBorder="1"/>
    <xf numFmtId="0" fontId="0" fillId="0" borderId="14" xfId="0" applyBorder="1" applyAlignment="1">
      <alignment horizontal="left" indent="2"/>
    </xf>
    <xf numFmtId="0" fontId="1" fillId="0" borderId="14" xfId="0" applyFont="1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/>
    <xf numFmtId="0" fontId="0" fillId="0" borderId="15" xfId="0" applyBorder="1" applyAlignment="1">
      <alignment horizontal="left" indent="2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EAD7B05-01CD-4F1C-9B77-62B6DAC8E4C7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DB7C1D5-1B0E-4C01-9DAB-022F6B78D8A0}">
  <we:reference id="wa200006770" version="1.1.0.0" store="en-US" storeType="OMEX"/>
  <we:alternateReferences>
    <we:reference id="WA200006770" version="1.1.0.0" store="WA200006770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54AB-DC1B-4191-A701-01A6B0E1D942}">
  <dimension ref="A1:S92"/>
  <sheetViews>
    <sheetView tabSelected="1" topLeftCell="A29" zoomScale="83" zoomScaleNormal="115" workbookViewId="0">
      <selection activeCell="I15" sqref="I15:I20"/>
    </sheetView>
  </sheetViews>
  <sheetFormatPr defaultRowHeight="14.5" x14ac:dyDescent="0.35"/>
  <cols>
    <col min="1" max="1" width="7.36328125" customWidth="1"/>
    <col min="2" max="2" width="7.81640625" customWidth="1"/>
    <col min="3" max="3" width="3.26953125" customWidth="1"/>
    <col min="4" max="4" width="10.453125" customWidth="1"/>
    <col min="5" max="5" width="9" customWidth="1"/>
    <col min="6" max="6" width="7" customWidth="1"/>
    <col min="7" max="7" width="5.1796875" customWidth="1"/>
    <col min="8" max="8" width="8.81640625" customWidth="1"/>
    <col min="9" max="9" width="7.7265625" customWidth="1"/>
    <col min="10" max="10" width="8.1796875" customWidth="1"/>
    <col min="11" max="11" width="3.08984375" customWidth="1"/>
    <col min="12" max="12" width="6.26953125" customWidth="1"/>
    <col min="13" max="13" width="15.36328125" customWidth="1"/>
    <col min="14" max="14" width="23.7265625" customWidth="1"/>
    <col min="15" max="15" width="79.7265625" customWidth="1"/>
    <col min="17" max="17" width="0" hidden="1" customWidth="1"/>
  </cols>
  <sheetData>
    <row r="1" spans="1:19" ht="18.5" x14ac:dyDescent="0.45">
      <c r="A1" s="19" t="s">
        <v>62</v>
      </c>
    </row>
    <row r="3" spans="1:19" ht="15" thickBot="1" x14ac:dyDescent="0.4">
      <c r="C3" s="2" t="s">
        <v>63</v>
      </c>
      <c r="N3" t="s">
        <v>31</v>
      </c>
    </row>
    <row r="4" spans="1:19" x14ac:dyDescent="0.35">
      <c r="A4" s="7" t="s">
        <v>59</v>
      </c>
      <c r="B4" s="7"/>
      <c r="C4" s="34"/>
      <c r="D4" s="35"/>
      <c r="E4" s="35"/>
      <c r="F4" s="35"/>
      <c r="G4" s="35"/>
      <c r="H4" s="35"/>
      <c r="I4" s="35"/>
      <c r="J4" s="35"/>
      <c r="K4" s="36"/>
      <c r="N4" s="17" t="s">
        <v>33</v>
      </c>
      <c r="O4" s="18" t="s">
        <v>31</v>
      </c>
      <c r="Q4" t="s">
        <v>16</v>
      </c>
      <c r="R4" s="5" t="s">
        <v>64</v>
      </c>
    </row>
    <row r="5" spans="1:19" x14ac:dyDescent="0.35">
      <c r="A5" s="7"/>
      <c r="B5" s="7"/>
      <c r="C5" s="37"/>
      <c r="D5" s="4" t="s">
        <v>0</v>
      </c>
      <c r="E5" s="21"/>
      <c r="F5" s="22"/>
      <c r="G5" s="22"/>
      <c r="H5" s="23">
        <v>9400</v>
      </c>
      <c r="I5" s="4"/>
      <c r="J5" s="4"/>
      <c r="K5" s="38"/>
      <c r="N5" s="8" t="s">
        <v>0</v>
      </c>
      <c r="O5" s="8" t="s">
        <v>34</v>
      </c>
      <c r="Q5" t="s">
        <v>56</v>
      </c>
      <c r="R5" t="s">
        <v>66</v>
      </c>
    </row>
    <row r="6" spans="1:19" ht="14" customHeight="1" x14ac:dyDescent="0.35">
      <c r="A6" s="7"/>
      <c r="B6" s="7"/>
      <c r="C6" s="37"/>
      <c r="D6" s="4" t="s">
        <v>7</v>
      </c>
      <c r="E6" s="64"/>
      <c r="F6" s="65"/>
      <c r="G6" s="65"/>
      <c r="H6" s="66" t="s">
        <v>16</v>
      </c>
      <c r="I6" s="39"/>
      <c r="J6" s="4"/>
      <c r="K6" s="38"/>
      <c r="N6" s="27" t="s">
        <v>7</v>
      </c>
      <c r="O6" s="28" t="s">
        <v>95</v>
      </c>
      <c r="Q6" t="s">
        <v>57</v>
      </c>
    </row>
    <row r="7" spans="1:19" x14ac:dyDescent="0.35">
      <c r="A7" s="7"/>
      <c r="B7" s="7"/>
      <c r="C7" s="37"/>
      <c r="D7" s="4" t="s">
        <v>2</v>
      </c>
      <c r="E7" s="21"/>
      <c r="F7" s="22"/>
      <c r="G7" s="22"/>
      <c r="H7" s="23">
        <v>9409</v>
      </c>
      <c r="I7" s="4"/>
      <c r="J7" s="4"/>
      <c r="K7" s="38"/>
      <c r="N7" s="29"/>
      <c r="O7" s="30" t="s">
        <v>67</v>
      </c>
    </row>
    <row r="8" spans="1:19" x14ac:dyDescent="0.35">
      <c r="A8" s="7"/>
      <c r="B8" s="7"/>
      <c r="C8" s="37"/>
      <c r="D8" s="4" t="s">
        <v>1</v>
      </c>
      <c r="E8" s="24"/>
      <c r="F8" s="25"/>
      <c r="G8" s="22"/>
      <c r="H8" s="26">
        <v>9401</v>
      </c>
      <c r="I8" s="4"/>
      <c r="J8" s="4"/>
      <c r="K8" s="38"/>
      <c r="N8" s="29"/>
      <c r="O8" s="30" t="s">
        <v>65</v>
      </c>
      <c r="R8" t="s">
        <v>74</v>
      </c>
    </row>
    <row r="9" spans="1:19" x14ac:dyDescent="0.35">
      <c r="A9" s="7"/>
      <c r="B9" s="7"/>
      <c r="C9" s="37"/>
      <c r="D9" s="4" t="s">
        <v>51</v>
      </c>
      <c r="E9" s="40"/>
      <c r="F9" s="4"/>
      <c r="G9" s="4" t="s">
        <v>52</v>
      </c>
      <c r="H9" s="40" t="s">
        <v>55</v>
      </c>
      <c r="I9" s="4"/>
      <c r="J9" s="4"/>
      <c r="K9" s="38"/>
      <c r="N9" s="29"/>
      <c r="O9" s="31" t="s">
        <v>53</v>
      </c>
      <c r="R9" s="56" t="s">
        <v>75</v>
      </c>
    </row>
    <row r="10" spans="1:19" ht="15" thickBot="1" x14ac:dyDescent="0.4">
      <c r="A10" s="7"/>
      <c r="B10" s="7"/>
      <c r="C10" s="37"/>
      <c r="D10" s="4"/>
      <c r="E10" s="4"/>
      <c r="F10" s="4"/>
      <c r="G10" s="4"/>
      <c r="H10" s="4"/>
      <c r="I10" s="4"/>
      <c r="J10" s="4"/>
      <c r="K10" s="38"/>
      <c r="N10" s="29"/>
      <c r="O10" s="31" t="s">
        <v>54</v>
      </c>
      <c r="R10" s="56" t="s">
        <v>88</v>
      </c>
    </row>
    <row r="11" spans="1:19" ht="16" customHeight="1" thickBot="1" x14ac:dyDescent="0.4">
      <c r="A11" s="7"/>
      <c r="B11" s="7"/>
      <c r="C11" s="37"/>
      <c r="D11" s="67" t="s">
        <v>28</v>
      </c>
      <c r="E11" s="41"/>
      <c r="F11" s="41"/>
      <c r="G11" s="41"/>
      <c r="H11" s="41"/>
      <c r="I11" s="41"/>
      <c r="J11" s="42"/>
      <c r="K11" s="38"/>
      <c r="N11" s="29"/>
      <c r="O11" s="32" t="s">
        <v>94</v>
      </c>
      <c r="R11" s="56" t="s">
        <v>77</v>
      </c>
    </row>
    <row r="12" spans="1:19" ht="15" thickBot="1" x14ac:dyDescent="0.4">
      <c r="A12" s="7"/>
      <c r="B12" s="7"/>
      <c r="C12" s="37"/>
      <c r="D12" s="4"/>
      <c r="E12" s="4"/>
      <c r="F12" s="4"/>
      <c r="G12" s="4"/>
      <c r="H12" s="4"/>
      <c r="I12" s="4"/>
      <c r="J12" s="4"/>
      <c r="K12" s="38"/>
      <c r="N12" s="8" t="s">
        <v>2</v>
      </c>
      <c r="O12" s="8" t="s">
        <v>35</v>
      </c>
      <c r="R12" s="56" t="s">
        <v>76</v>
      </c>
    </row>
    <row r="13" spans="1:19" ht="13.5" customHeight="1" x14ac:dyDescent="0.35">
      <c r="A13" s="5" t="s">
        <v>60</v>
      </c>
      <c r="B13" s="5"/>
      <c r="C13" s="37"/>
      <c r="D13" s="63" t="s">
        <v>3</v>
      </c>
      <c r="E13" s="61" t="s">
        <v>4</v>
      </c>
      <c r="F13" s="61"/>
      <c r="G13" s="61"/>
      <c r="H13" s="61" t="s">
        <v>5</v>
      </c>
      <c r="I13" s="61" t="s">
        <v>6</v>
      </c>
      <c r="J13" s="62" t="s">
        <v>23</v>
      </c>
      <c r="K13" s="38"/>
      <c r="N13" s="8" t="s">
        <v>1</v>
      </c>
      <c r="O13" s="8" t="s">
        <v>36</v>
      </c>
      <c r="R13" s="56" t="s">
        <v>78</v>
      </c>
    </row>
    <row r="14" spans="1:19" x14ac:dyDescent="0.35">
      <c r="A14" s="5"/>
      <c r="B14" s="5"/>
      <c r="C14" s="37"/>
      <c r="D14" s="43">
        <v>1</v>
      </c>
      <c r="E14" s="44" t="s">
        <v>8</v>
      </c>
      <c r="F14" s="44"/>
      <c r="G14" s="4"/>
      <c r="H14" s="45">
        <v>6100497</v>
      </c>
      <c r="I14" s="45">
        <v>2100</v>
      </c>
      <c r="J14" s="3" t="s">
        <v>24</v>
      </c>
      <c r="K14" s="38"/>
      <c r="N14" s="9" t="s">
        <v>37</v>
      </c>
      <c r="O14" s="8"/>
      <c r="R14" s="59" t="s">
        <v>25</v>
      </c>
      <c r="S14" s="60"/>
    </row>
    <row r="15" spans="1:19" x14ac:dyDescent="0.35">
      <c r="A15" s="5"/>
      <c r="B15" s="5"/>
      <c r="C15" s="37"/>
      <c r="D15" s="12">
        <v>2</v>
      </c>
      <c r="E15" s="13" t="s">
        <v>9</v>
      </c>
      <c r="F15" s="13"/>
      <c r="G15" s="14"/>
      <c r="H15" s="15">
        <v>6100498</v>
      </c>
      <c r="I15" s="15">
        <v>2100</v>
      </c>
      <c r="J15" s="16" t="s">
        <v>24</v>
      </c>
      <c r="K15" s="38"/>
      <c r="N15" s="8" t="s">
        <v>3</v>
      </c>
      <c r="O15" s="8" t="s">
        <v>73</v>
      </c>
      <c r="R15" s="59" t="s">
        <v>26</v>
      </c>
      <c r="S15" s="60"/>
    </row>
    <row r="16" spans="1:19" x14ac:dyDescent="0.35">
      <c r="A16" s="5"/>
      <c r="B16" s="5"/>
      <c r="C16" s="37"/>
      <c r="D16" s="43">
        <v>3</v>
      </c>
      <c r="E16" s="44" t="s">
        <v>10</v>
      </c>
      <c r="F16" s="44"/>
      <c r="G16" s="4"/>
      <c r="H16" s="45">
        <v>6100498</v>
      </c>
      <c r="I16" s="45">
        <v>2100</v>
      </c>
      <c r="J16" s="3" t="s">
        <v>24</v>
      </c>
      <c r="K16" s="38"/>
      <c r="N16" s="8" t="s">
        <v>4</v>
      </c>
      <c r="O16" s="8" t="s">
        <v>38</v>
      </c>
      <c r="R16" s="59" t="s">
        <v>19</v>
      </c>
      <c r="S16" s="60"/>
    </row>
    <row r="17" spans="1:19" x14ac:dyDescent="0.35">
      <c r="A17" s="5"/>
      <c r="B17" s="5"/>
      <c r="C17" s="37"/>
      <c r="D17" s="12">
        <v>4</v>
      </c>
      <c r="E17" s="13" t="s">
        <v>11</v>
      </c>
      <c r="F17" s="13"/>
      <c r="G17" s="14"/>
      <c r="H17" s="15">
        <v>6100498</v>
      </c>
      <c r="I17" s="15">
        <v>2100</v>
      </c>
      <c r="J17" s="16" t="s">
        <v>24</v>
      </c>
      <c r="K17" s="38"/>
      <c r="N17" s="8" t="s">
        <v>5</v>
      </c>
      <c r="O17" s="8" t="s">
        <v>39</v>
      </c>
      <c r="R17" s="59" t="s">
        <v>20</v>
      </c>
      <c r="S17" s="60"/>
    </row>
    <row r="18" spans="1:19" x14ac:dyDescent="0.35">
      <c r="A18" s="5"/>
      <c r="B18" s="5"/>
      <c r="C18" s="37"/>
      <c r="D18" s="43">
        <v>5</v>
      </c>
      <c r="E18" s="44" t="s">
        <v>12</v>
      </c>
      <c r="F18" s="44"/>
      <c r="G18" s="4"/>
      <c r="H18" s="45">
        <v>6100498</v>
      </c>
      <c r="I18" s="45">
        <v>2100</v>
      </c>
      <c r="J18" s="3" t="s">
        <v>24</v>
      </c>
      <c r="K18" s="38"/>
      <c r="N18" s="8" t="s">
        <v>6</v>
      </c>
      <c r="O18" s="8" t="s">
        <v>40</v>
      </c>
      <c r="R18" s="59" t="s">
        <v>21</v>
      </c>
      <c r="S18" s="60"/>
    </row>
    <row r="19" spans="1:19" x14ac:dyDescent="0.35">
      <c r="A19" s="5"/>
      <c r="B19" s="5"/>
      <c r="C19" s="37"/>
      <c r="D19" s="12">
        <v>6</v>
      </c>
      <c r="E19" s="13" t="s">
        <v>13</v>
      </c>
      <c r="F19" s="13"/>
      <c r="G19" s="14"/>
      <c r="H19" s="15">
        <v>6100498</v>
      </c>
      <c r="I19" s="15">
        <v>2100</v>
      </c>
      <c r="J19" s="16" t="s">
        <v>24</v>
      </c>
      <c r="K19" s="38"/>
      <c r="N19" s="8" t="s">
        <v>23</v>
      </c>
      <c r="O19" s="8" t="s">
        <v>41</v>
      </c>
      <c r="R19" s="59" t="s">
        <v>22</v>
      </c>
      <c r="S19" s="60"/>
    </row>
    <row r="20" spans="1:19" x14ac:dyDescent="0.35">
      <c r="A20" s="5"/>
      <c r="B20" s="5"/>
      <c r="C20" s="37"/>
      <c r="D20" s="43">
        <v>7</v>
      </c>
      <c r="E20" s="44" t="s">
        <v>14</v>
      </c>
      <c r="F20" s="44"/>
      <c r="G20" s="4"/>
      <c r="H20" s="45">
        <v>6100498</v>
      </c>
      <c r="I20" s="45">
        <v>2100</v>
      </c>
      <c r="J20" s="3" t="s">
        <v>24</v>
      </c>
      <c r="K20" s="38"/>
      <c r="N20" s="8" t="s">
        <v>17</v>
      </c>
      <c r="O20" s="8" t="s">
        <v>43</v>
      </c>
      <c r="R20" s="59" t="s">
        <v>27</v>
      </c>
      <c r="S20" s="60"/>
    </row>
    <row r="21" spans="1:19" x14ac:dyDescent="0.35">
      <c r="A21" s="5"/>
      <c r="B21" s="5"/>
      <c r="C21" s="37"/>
      <c r="D21" s="12">
        <v>8</v>
      </c>
      <c r="E21" s="13" t="s">
        <v>15</v>
      </c>
      <c r="F21" s="13"/>
      <c r="G21" s="14"/>
      <c r="H21" s="15">
        <v>6100499</v>
      </c>
      <c r="I21" s="15">
        <v>2100</v>
      </c>
      <c r="J21" s="16" t="s">
        <v>24</v>
      </c>
      <c r="K21" s="38"/>
      <c r="N21" s="8" t="s">
        <v>18</v>
      </c>
      <c r="O21" s="58" t="s">
        <v>85</v>
      </c>
      <c r="R21" s="4" t="s">
        <v>79</v>
      </c>
    </row>
    <row r="22" spans="1:19" ht="29" x14ac:dyDescent="0.35">
      <c r="A22" s="5"/>
      <c r="B22" s="5"/>
      <c r="C22" s="37"/>
      <c r="D22" s="46"/>
      <c r="E22" s="47"/>
      <c r="F22" s="47"/>
      <c r="G22" s="47"/>
      <c r="H22" s="48"/>
      <c r="I22" s="48"/>
      <c r="J22" s="38"/>
      <c r="K22" s="38"/>
      <c r="N22" s="8" t="s">
        <v>25</v>
      </c>
      <c r="O22" s="55" t="s">
        <v>72</v>
      </c>
      <c r="R22" s="4" t="s">
        <v>80</v>
      </c>
    </row>
    <row r="23" spans="1:19" x14ac:dyDescent="0.35">
      <c r="A23" s="5"/>
      <c r="B23" s="5"/>
      <c r="C23" s="37"/>
      <c r="D23" s="46"/>
      <c r="E23" s="47"/>
      <c r="F23" s="47"/>
      <c r="G23" s="47"/>
      <c r="H23" s="48"/>
      <c r="I23" s="48"/>
      <c r="J23" s="38"/>
      <c r="K23" s="38"/>
      <c r="N23" s="8" t="s">
        <v>26</v>
      </c>
      <c r="O23" s="8" t="s">
        <v>42</v>
      </c>
      <c r="R23" s="4" t="s">
        <v>81</v>
      </c>
    </row>
    <row r="24" spans="1:19" x14ac:dyDescent="0.35">
      <c r="A24" s="5"/>
      <c r="B24" s="5"/>
      <c r="C24" s="37"/>
      <c r="D24" s="46"/>
      <c r="E24" s="47"/>
      <c r="F24" s="47"/>
      <c r="G24" s="47"/>
      <c r="H24" s="48"/>
      <c r="I24" s="48"/>
      <c r="J24" s="38"/>
      <c r="K24" s="38"/>
      <c r="N24" s="8" t="s">
        <v>19</v>
      </c>
      <c r="O24" s="8" t="s">
        <v>68</v>
      </c>
      <c r="R24" t="s">
        <v>83</v>
      </c>
    </row>
    <row r="25" spans="1:19" x14ac:dyDescent="0.35">
      <c r="A25" s="5"/>
      <c r="B25" s="5"/>
      <c r="C25" s="37"/>
      <c r="D25" s="37"/>
      <c r="E25" s="4"/>
      <c r="F25" s="4"/>
      <c r="G25" s="4"/>
      <c r="H25" s="4"/>
      <c r="I25" s="4"/>
      <c r="J25" s="38"/>
      <c r="K25" s="38"/>
      <c r="N25" s="8" t="s">
        <v>20</v>
      </c>
      <c r="O25" s="8" t="s">
        <v>69</v>
      </c>
      <c r="R25" s="57" t="s">
        <v>82</v>
      </c>
    </row>
    <row r="26" spans="1:19" x14ac:dyDescent="0.35">
      <c r="A26" s="5"/>
      <c r="B26" s="5"/>
      <c r="C26" s="37"/>
      <c r="D26" s="37"/>
      <c r="E26" s="4"/>
      <c r="F26" s="4"/>
      <c r="G26" s="4"/>
      <c r="H26" s="4"/>
      <c r="I26" s="4"/>
      <c r="J26" s="38"/>
      <c r="K26" s="38"/>
      <c r="N26" s="8" t="s">
        <v>21</v>
      </c>
      <c r="O26" s="8" t="s">
        <v>70</v>
      </c>
      <c r="R26" s="57" t="s">
        <v>86</v>
      </c>
    </row>
    <row r="27" spans="1:19" ht="15" thickBot="1" x14ac:dyDescent="0.4">
      <c r="A27" s="5"/>
      <c r="B27" s="5"/>
      <c r="C27" s="37"/>
      <c r="D27" s="49"/>
      <c r="E27" s="50"/>
      <c r="F27" s="50"/>
      <c r="G27" s="50"/>
      <c r="H27" s="50"/>
      <c r="I27" s="50"/>
      <c r="J27" s="51"/>
      <c r="K27" s="38"/>
      <c r="N27" s="11" t="s">
        <v>22</v>
      </c>
      <c r="O27" s="11" t="s">
        <v>71</v>
      </c>
      <c r="R27" s="57" t="s">
        <v>84</v>
      </c>
    </row>
    <row r="28" spans="1:19" x14ac:dyDescent="0.35">
      <c r="A28" s="6" t="s">
        <v>61</v>
      </c>
      <c r="B28" s="6"/>
      <c r="C28" s="37"/>
      <c r="D28" s="72" t="s">
        <v>17</v>
      </c>
      <c r="E28" s="4"/>
      <c r="F28" s="52">
        <f>COUNT(D14:D27)</f>
        <v>8</v>
      </c>
      <c r="G28" s="4"/>
      <c r="I28" s="72" t="s">
        <v>18</v>
      </c>
      <c r="J28" s="4">
        <f>SUM(I14:I26)</f>
        <v>16800</v>
      </c>
      <c r="K28" s="38"/>
      <c r="N28" s="33" t="s">
        <v>27</v>
      </c>
      <c r="O28" s="33" t="s">
        <v>116</v>
      </c>
      <c r="R28" s="57" t="s">
        <v>87</v>
      </c>
    </row>
    <row r="29" spans="1:19" x14ac:dyDescent="0.35">
      <c r="A29" s="6"/>
      <c r="B29" s="6"/>
      <c r="C29" s="37"/>
      <c r="D29" s="4"/>
      <c r="E29" s="4"/>
      <c r="F29" s="4"/>
      <c r="G29" s="4"/>
      <c r="H29" s="4"/>
      <c r="I29" s="4"/>
      <c r="J29" s="4"/>
      <c r="K29" s="38"/>
      <c r="N29" s="29"/>
      <c r="O29" s="74" t="s">
        <v>104</v>
      </c>
    </row>
    <row r="30" spans="1:19" ht="15" thickBot="1" x14ac:dyDescent="0.4">
      <c r="A30" s="6"/>
      <c r="B30" s="6"/>
      <c r="C30" s="49"/>
      <c r="D30" s="53" t="s">
        <v>25</v>
      </c>
      <c r="E30" s="53" t="s">
        <v>26</v>
      </c>
      <c r="F30" s="53" t="s">
        <v>19</v>
      </c>
      <c r="G30" s="53" t="s">
        <v>20</v>
      </c>
      <c r="H30" s="53" t="s">
        <v>21</v>
      </c>
      <c r="I30" s="53" t="s">
        <v>22</v>
      </c>
      <c r="J30" s="54" t="s">
        <v>27</v>
      </c>
      <c r="K30" s="51"/>
      <c r="N30" s="29"/>
      <c r="O30" s="75" t="s">
        <v>91</v>
      </c>
    </row>
    <row r="31" spans="1:19" x14ac:dyDescent="0.35">
      <c r="N31" s="29"/>
      <c r="O31" s="76" t="s">
        <v>44</v>
      </c>
    </row>
    <row r="32" spans="1:19" x14ac:dyDescent="0.35">
      <c r="N32" s="29"/>
      <c r="O32" s="77" t="s">
        <v>122</v>
      </c>
    </row>
    <row r="33" spans="1:15" x14ac:dyDescent="0.35">
      <c r="N33" s="29"/>
      <c r="O33" s="77" t="s">
        <v>123</v>
      </c>
    </row>
    <row r="34" spans="1:15" x14ac:dyDescent="0.35">
      <c r="N34" s="29"/>
      <c r="O34" s="77" t="s">
        <v>124</v>
      </c>
    </row>
    <row r="35" spans="1:15" x14ac:dyDescent="0.35">
      <c r="A35" s="2" t="s">
        <v>29</v>
      </c>
      <c r="N35" s="29"/>
      <c r="O35" s="77" t="s">
        <v>103</v>
      </c>
    </row>
    <row r="36" spans="1:15" x14ac:dyDescent="0.35">
      <c r="A36" s="1">
        <v>1</v>
      </c>
      <c r="B36" t="s">
        <v>30</v>
      </c>
      <c r="N36" s="29"/>
      <c r="O36" s="77" t="s">
        <v>125</v>
      </c>
    </row>
    <row r="37" spans="1:15" x14ac:dyDescent="0.35">
      <c r="A37" s="1">
        <v>2</v>
      </c>
      <c r="B37" t="s">
        <v>32</v>
      </c>
      <c r="N37" s="29"/>
      <c r="O37" s="78" t="s">
        <v>105</v>
      </c>
    </row>
    <row r="38" spans="1:15" x14ac:dyDescent="0.35">
      <c r="A38" s="1">
        <v>3</v>
      </c>
      <c r="B38" t="s">
        <v>98</v>
      </c>
      <c r="N38" s="29"/>
      <c r="O38" s="75" t="s">
        <v>92</v>
      </c>
    </row>
    <row r="39" spans="1:15" x14ac:dyDescent="0.35">
      <c r="A39" s="1">
        <v>4</v>
      </c>
      <c r="B39" s="4" t="s">
        <v>99</v>
      </c>
      <c r="N39" s="29"/>
      <c r="O39" s="76" t="s">
        <v>45</v>
      </c>
    </row>
    <row r="40" spans="1:15" x14ac:dyDescent="0.35">
      <c r="A40" s="1">
        <v>5</v>
      </c>
      <c r="B40" t="s">
        <v>100</v>
      </c>
      <c r="N40" s="29"/>
      <c r="O40" s="76" t="s">
        <v>121</v>
      </c>
    </row>
    <row r="41" spans="1:15" x14ac:dyDescent="0.35">
      <c r="N41" s="29"/>
      <c r="O41" s="76" t="s">
        <v>89</v>
      </c>
    </row>
    <row r="42" spans="1:15" x14ac:dyDescent="0.35">
      <c r="N42" s="29"/>
      <c r="O42" s="76" t="s">
        <v>90</v>
      </c>
    </row>
    <row r="43" spans="1:15" x14ac:dyDescent="0.35">
      <c r="N43" s="29"/>
      <c r="O43" s="76" t="s">
        <v>97</v>
      </c>
    </row>
    <row r="44" spans="1:15" x14ac:dyDescent="0.35">
      <c r="N44" s="29"/>
      <c r="O44" s="76" t="s">
        <v>96</v>
      </c>
    </row>
    <row r="45" spans="1:15" x14ac:dyDescent="0.35">
      <c r="N45" s="29"/>
      <c r="O45" s="77" t="s">
        <v>103</v>
      </c>
    </row>
    <row r="46" spans="1:15" x14ac:dyDescent="0.35">
      <c r="N46" s="29"/>
      <c r="O46" s="77" t="s">
        <v>125</v>
      </c>
    </row>
    <row r="47" spans="1:15" x14ac:dyDescent="0.35">
      <c r="N47" s="68"/>
      <c r="O47" s="78" t="s">
        <v>105</v>
      </c>
    </row>
    <row r="48" spans="1:15" x14ac:dyDescent="0.35">
      <c r="N48" s="68"/>
      <c r="O48" s="75" t="s">
        <v>93</v>
      </c>
    </row>
    <row r="49" spans="14:15" x14ac:dyDescent="0.35">
      <c r="N49" s="68"/>
      <c r="O49" s="76" t="s">
        <v>45</v>
      </c>
    </row>
    <row r="50" spans="14:15" x14ac:dyDescent="0.35">
      <c r="N50" s="68"/>
      <c r="O50" s="77" t="s">
        <v>103</v>
      </c>
    </row>
    <row r="51" spans="14:15" x14ac:dyDescent="0.35">
      <c r="N51" s="68"/>
      <c r="O51" s="77" t="s">
        <v>125</v>
      </c>
    </row>
    <row r="52" spans="14:15" x14ac:dyDescent="0.35">
      <c r="N52" s="68"/>
      <c r="O52" s="76" t="s">
        <v>46</v>
      </c>
    </row>
    <row r="53" spans="14:15" x14ac:dyDescent="0.35">
      <c r="N53" s="68"/>
      <c r="O53" s="74" t="s">
        <v>47</v>
      </c>
    </row>
    <row r="54" spans="14:15" x14ac:dyDescent="0.35">
      <c r="N54" s="68"/>
      <c r="O54" s="79" t="s">
        <v>101</v>
      </c>
    </row>
    <row r="55" spans="14:15" x14ac:dyDescent="0.35">
      <c r="N55" s="68"/>
      <c r="O55" s="68"/>
    </row>
    <row r="56" spans="14:15" x14ac:dyDescent="0.35">
      <c r="N56" s="68"/>
      <c r="O56" s="68"/>
    </row>
    <row r="57" spans="14:15" x14ac:dyDescent="0.35">
      <c r="N57" s="68"/>
      <c r="O57" s="80" t="s">
        <v>117</v>
      </c>
    </row>
    <row r="58" spans="14:15" x14ac:dyDescent="0.35">
      <c r="N58" s="68"/>
      <c r="O58" s="74" t="s">
        <v>58</v>
      </c>
    </row>
    <row r="59" spans="14:15" x14ac:dyDescent="0.35">
      <c r="N59" s="68"/>
      <c r="O59" s="74" t="s">
        <v>48</v>
      </c>
    </row>
    <row r="60" spans="14:15" x14ac:dyDescent="0.35">
      <c r="N60" s="68"/>
      <c r="O60" s="74" t="s">
        <v>102</v>
      </c>
    </row>
    <row r="61" spans="14:15" x14ac:dyDescent="0.35">
      <c r="N61" s="68"/>
      <c r="O61" s="80" t="s">
        <v>115</v>
      </c>
    </row>
    <row r="62" spans="14:15" x14ac:dyDescent="0.35">
      <c r="N62" s="68"/>
      <c r="O62" s="74" t="s">
        <v>114</v>
      </c>
    </row>
    <row r="63" spans="14:15" x14ac:dyDescent="0.35">
      <c r="N63" s="68"/>
      <c r="O63" s="81" t="s">
        <v>103</v>
      </c>
    </row>
    <row r="64" spans="14:15" x14ac:dyDescent="0.35">
      <c r="N64" s="68"/>
      <c r="O64" s="74" t="s">
        <v>119</v>
      </c>
    </row>
    <row r="65" spans="14:15" x14ac:dyDescent="0.35">
      <c r="N65" s="68"/>
      <c r="O65" s="81" t="s">
        <v>127</v>
      </c>
    </row>
    <row r="66" spans="14:15" x14ac:dyDescent="0.35">
      <c r="N66" s="68"/>
      <c r="O66" s="68"/>
    </row>
    <row r="67" spans="14:15" x14ac:dyDescent="0.35">
      <c r="N67" s="68"/>
      <c r="O67" s="82" t="s">
        <v>128</v>
      </c>
    </row>
    <row r="68" spans="14:15" x14ac:dyDescent="0.35">
      <c r="N68" s="69"/>
      <c r="O68" s="91" t="s">
        <v>139</v>
      </c>
    </row>
    <row r="73" spans="14:15" x14ac:dyDescent="0.35">
      <c r="N73" s="20" t="s">
        <v>49</v>
      </c>
      <c r="O73" s="5"/>
    </row>
    <row r="74" spans="14:15" ht="29" x14ac:dyDescent="0.35">
      <c r="N74" s="10" t="s">
        <v>111</v>
      </c>
      <c r="O74" s="10" t="s">
        <v>120</v>
      </c>
    </row>
    <row r="75" spans="14:15" ht="72.5" x14ac:dyDescent="0.35">
      <c r="N75" s="10" t="s">
        <v>112</v>
      </c>
      <c r="O75" s="10" t="s">
        <v>50</v>
      </c>
    </row>
    <row r="76" spans="14:15" ht="43.5" x14ac:dyDescent="0.35">
      <c r="N76" s="73" t="s">
        <v>113</v>
      </c>
      <c r="O76" t="s">
        <v>118</v>
      </c>
    </row>
    <row r="84" spans="14:14" x14ac:dyDescent="0.35">
      <c r="N84" s="70" t="s">
        <v>94</v>
      </c>
    </row>
    <row r="85" spans="14:14" x14ac:dyDescent="0.35">
      <c r="N85" t="s">
        <v>126</v>
      </c>
    </row>
    <row r="86" spans="14:14" x14ac:dyDescent="0.35">
      <c r="N86" t="s">
        <v>107</v>
      </c>
    </row>
    <row r="87" spans="14:14" x14ac:dyDescent="0.35">
      <c r="N87" t="s">
        <v>108</v>
      </c>
    </row>
    <row r="88" spans="14:14" x14ac:dyDescent="0.35">
      <c r="N88" t="s">
        <v>109</v>
      </c>
    </row>
    <row r="89" spans="14:14" x14ac:dyDescent="0.35">
      <c r="N89" s="71" t="s">
        <v>106</v>
      </c>
    </row>
    <row r="90" spans="14:14" x14ac:dyDescent="0.35">
      <c r="N90" s="71" t="s">
        <v>110</v>
      </c>
    </row>
    <row r="92" spans="14:14" x14ac:dyDescent="0.35">
      <c r="N92" s="70"/>
    </row>
  </sheetData>
  <phoneticPr fontId="2" type="noConversion"/>
  <conditionalFormatting sqref="E9">
    <cfRule type="expression" dxfId="1" priority="3">
      <formula>OR($H$6="A",$H$6="B")</formula>
    </cfRule>
  </conditionalFormatting>
  <conditionalFormatting sqref="H9">
    <cfRule type="expression" dxfId="0" priority="1">
      <formula>OR($H$6="A",$H$6="B")</formula>
    </cfRule>
    <cfRule type="expression" priority="2">
      <formula>OR($H$6="A",$H$6="B")</formula>
    </cfRule>
  </conditionalFormatting>
  <dataValidations count="1">
    <dataValidation type="list" allowBlank="1" showInputMessage="1" showErrorMessage="1" sqref="H6" xr:uid="{B2C875F2-5DB5-4C7C-A47F-EE6DBF38FB46}">
      <formula1>$Q$4:$Q$6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39B4-0C4E-4839-941D-2E5214FECB23}">
  <dimension ref="B1:W30"/>
  <sheetViews>
    <sheetView zoomScale="59" zoomScaleNormal="100" workbookViewId="0">
      <selection activeCell="N29" sqref="N29"/>
    </sheetView>
  </sheetViews>
  <sheetFormatPr defaultRowHeight="14.5" x14ac:dyDescent="0.35"/>
  <cols>
    <col min="1" max="1" width="4.08984375" customWidth="1"/>
    <col min="2" max="2" width="11.90625" customWidth="1"/>
    <col min="3" max="3" width="12.54296875" customWidth="1"/>
    <col min="4" max="4" width="21.90625" customWidth="1"/>
    <col min="5" max="5" width="17" customWidth="1"/>
    <col min="6" max="6" width="9" customWidth="1"/>
    <col min="7" max="7" width="12.54296875" customWidth="1"/>
    <col min="8" max="8" width="11.08984375" customWidth="1"/>
  </cols>
  <sheetData>
    <row r="1" spans="2:23" ht="18.5" x14ac:dyDescent="0.45">
      <c r="B1" s="87" t="s">
        <v>129</v>
      </c>
      <c r="C1" s="87"/>
      <c r="D1" s="87"/>
      <c r="E1" s="87"/>
      <c r="F1" s="87"/>
      <c r="G1" s="87"/>
      <c r="H1" s="87"/>
    </row>
    <row r="2" spans="2:23" ht="17" x14ac:dyDescent="0.4">
      <c r="B2" s="88" t="s">
        <v>144</v>
      </c>
      <c r="C2" s="88"/>
      <c r="D2" s="88"/>
      <c r="E2" s="88"/>
      <c r="F2" s="88"/>
      <c r="G2" s="88"/>
      <c r="H2" s="88"/>
    </row>
    <row r="3" spans="2:23" ht="10" customHeight="1" x14ac:dyDescent="0.35"/>
    <row r="4" spans="2:23" x14ac:dyDescent="0.35">
      <c r="B4" t="s">
        <v>151</v>
      </c>
      <c r="C4" s="90" t="s">
        <v>137</v>
      </c>
      <c r="E4" t="s">
        <v>143</v>
      </c>
      <c r="F4" s="90" t="s">
        <v>138</v>
      </c>
    </row>
    <row r="5" spans="2:23" x14ac:dyDescent="0.35">
      <c r="B5" t="s">
        <v>149</v>
      </c>
      <c r="C5" t="s">
        <v>141</v>
      </c>
      <c r="E5" t="s">
        <v>150</v>
      </c>
      <c r="F5" t="s">
        <v>142</v>
      </c>
    </row>
    <row r="6" spans="2:23" ht="7" customHeight="1" x14ac:dyDescent="0.35"/>
    <row r="7" spans="2:23" ht="21.5" customHeight="1" x14ac:dyDescent="0.35">
      <c r="B7" s="86" t="s">
        <v>73</v>
      </c>
      <c r="C7" s="86" t="s">
        <v>130</v>
      </c>
      <c r="D7" s="86" t="s">
        <v>131</v>
      </c>
      <c r="E7" s="86" t="s">
        <v>132</v>
      </c>
      <c r="F7" s="86" t="s">
        <v>133</v>
      </c>
      <c r="G7" s="86" t="s">
        <v>134</v>
      </c>
      <c r="H7" s="86" t="s">
        <v>140</v>
      </c>
    </row>
    <row r="8" spans="2:23" x14ac:dyDescent="0.35">
      <c r="B8" s="92">
        <v>1</v>
      </c>
      <c r="C8" s="93">
        <v>6100497</v>
      </c>
      <c r="D8" s="85"/>
      <c r="E8" s="85">
        <f ca="1">SUMIF(Sheet1!H14:I21,Sheet1!H14,Sheet1!I14:I21)</f>
        <v>2100</v>
      </c>
      <c r="F8" s="92" t="s">
        <v>155</v>
      </c>
      <c r="G8" s="85">
        <v>2609150001</v>
      </c>
      <c r="H8" s="85"/>
    </row>
    <row r="9" spans="2:23" x14ac:dyDescent="0.35">
      <c r="B9" s="93">
        <v>2</v>
      </c>
      <c r="C9" s="93">
        <v>6100498</v>
      </c>
      <c r="D9" s="83"/>
      <c r="E9" s="83">
        <f ca="1">SUMIF(Sheet1!H14:I21,Sheet1!H15,Sheet1!I14:I21)</f>
        <v>12600</v>
      </c>
      <c r="F9" s="92" t="s">
        <v>155</v>
      </c>
      <c r="G9" s="85">
        <v>2609150001</v>
      </c>
      <c r="H9" s="83"/>
      <c r="W9" s="45">
        <v>6100497</v>
      </c>
    </row>
    <row r="10" spans="2:23" x14ac:dyDescent="0.35">
      <c r="B10" s="93">
        <v>3</v>
      </c>
      <c r="C10" s="93">
        <v>6100499</v>
      </c>
      <c r="D10" s="83"/>
      <c r="E10" s="83">
        <f ca="1">SUMIF(Sheet1!H14:I21,Sheet1!H21,Sheet1!I14:I21)</f>
        <v>2100</v>
      </c>
      <c r="F10" s="92" t="s">
        <v>155</v>
      </c>
      <c r="G10" s="85">
        <v>2609150001</v>
      </c>
      <c r="H10" s="83"/>
      <c r="W10" s="15">
        <v>6100498</v>
      </c>
    </row>
    <row r="11" spans="2:23" x14ac:dyDescent="0.35">
      <c r="B11" s="93"/>
      <c r="C11" s="83"/>
      <c r="D11" s="83"/>
      <c r="E11" s="83"/>
      <c r="F11" s="83"/>
      <c r="G11" s="83"/>
      <c r="H11" s="83"/>
      <c r="W11" s="15">
        <v>6100499</v>
      </c>
    </row>
    <row r="12" spans="2:23" x14ac:dyDescent="0.35">
      <c r="B12" s="83"/>
      <c r="C12" s="83"/>
      <c r="D12" s="83"/>
      <c r="E12" s="83"/>
      <c r="F12" s="83"/>
      <c r="G12" s="83"/>
      <c r="H12" s="83"/>
    </row>
    <row r="13" spans="2:23" x14ac:dyDescent="0.35">
      <c r="B13" s="83"/>
      <c r="C13" s="83"/>
      <c r="D13" s="83"/>
      <c r="E13" s="83"/>
      <c r="F13" s="83"/>
      <c r="G13" s="83"/>
      <c r="H13" s="83"/>
    </row>
    <row r="14" spans="2:23" x14ac:dyDescent="0.35">
      <c r="B14" s="83"/>
      <c r="C14" s="83"/>
      <c r="D14" s="83"/>
      <c r="E14" s="83"/>
      <c r="F14" s="83"/>
      <c r="G14" s="83"/>
      <c r="H14" s="83"/>
    </row>
    <row r="15" spans="2:23" x14ac:dyDescent="0.35">
      <c r="B15" s="83"/>
      <c r="C15" s="83"/>
      <c r="D15" s="83"/>
      <c r="E15" s="83"/>
      <c r="F15" s="83"/>
      <c r="G15" s="83"/>
      <c r="H15" s="83"/>
    </row>
    <row r="16" spans="2:23" x14ac:dyDescent="0.35">
      <c r="B16" s="83"/>
      <c r="C16" s="83"/>
      <c r="D16" s="83"/>
      <c r="E16" s="83"/>
      <c r="F16" s="83"/>
      <c r="G16" s="83"/>
      <c r="H16" s="83"/>
    </row>
    <row r="17" spans="2:8" x14ac:dyDescent="0.35">
      <c r="B17" s="83"/>
      <c r="C17" s="83"/>
      <c r="D17" s="83"/>
      <c r="E17" s="83"/>
      <c r="F17" s="83"/>
      <c r="G17" s="83"/>
      <c r="H17" s="83"/>
    </row>
    <row r="18" spans="2:8" x14ac:dyDescent="0.35">
      <c r="B18" s="84"/>
      <c r="C18" s="84"/>
      <c r="D18" s="84"/>
      <c r="E18" s="84"/>
      <c r="F18" s="84"/>
      <c r="G18" s="84"/>
      <c r="H18" s="84"/>
    </row>
    <row r="19" spans="2:8" ht="8.5" customHeight="1" x14ac:dyDescent="0.35"/>
    <row r="20" spans="2:8" x14ac:dyDescent="0.35">
      <c r="B20" s="89" t="s">
        <v>154</v>
      </c>
      <c r="D20" s="89" t="s">
        <v>148</v>
      </c>
      <c r="G20" t="s">
        <v>135</v>
      </c>
    </row>
    <row r="26" spans="2:8" x14ac:dyDescent="0.35">
      <c r="B26" t="s">
        <v>136</v>
      </c>
    </row>
    <row r="27" spans="2:8" x14ac:dyDescent="0.35">
      <c r="B27" t="s">
        <v>146</v>
      </c>
      <c r="C27" t="s">
        <v>145</v>
      </c>
    </row>
    <row r="28" spans="2:8" x14ac:dyDescent="0.35">
      <c r="B28" t="s">
        <v>147</v>
      </c>
      <c r="C28" t="s">
        <v>145</v>
      </c>
    </row>
    <row r="29" spans="2:8" x14ac:dyDescent="0.35">
      <c r="B29" t="s">
        <v>152</v>
      </c>
      <c r="C29" t="s">
        <v>153</v>
      </c>
    </row>
    <row r="30" spans="2:8" x14ac:dyDescent="0.35">
      <c r="B30" t="s">
        <v>156</v>
      </c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入库单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Liêm</dc:creator>
  <cp:lastModifiedBy>Trần Văn Liêm</cp:lastModifiedBy>
  <dcterms:created xsi:type="dcterms:W3CDTF">2026-09-08T18:41:35Z</dcterms:created>
  <dcterms:modified xsi:type="dcterms:W3CDTF">2026-10-01T20:54:42Z</dcterms:modified>
</cp:coreProperties>
</file>